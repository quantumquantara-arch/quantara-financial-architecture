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 Projections" sheetId="2" state="visible" r:id="rId2"/>
    <sheet xmlns:r="http://schemas.openxmlformats.org/officeDocument/2006/relationships" name="Unit Economics" sheetId="3" state="visible" r:id="rId3"/>
    <sheet xmlns:r="http://schemas.openxmlformats.org/officeDocument/2006/relationships" name="2050 Pathw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-&quot;"/>
    <numFmt numFmtId="165" formatCode="$#,##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C9A84C"/>
      <sz val="10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0000FF"/>
      <sz val="10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1B2A4A"/>
      <sz val="10"/>
    </font>
    <font>
      <name val="Arial"/>
      <color rgb="00000000"/>
      <sz val="10"/>
    </font>
    <font>
      <name val="Arial"/>
      <b val="1"/>
      <color rgb="00C0392B"/>
      <sz val="10"/>
    </font>
    <font>
      <name val="Arial"/>
      <b val="1"/>
      <color rgb="000D7377"/>
      <sz val="10"/>
    </font>
    <font>
      <name val="Arial"/>
      <b val="1"/>
      <color rgb="001A7A4A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FFFFFF"/>
      <sz val="13"/>
    </font>
    <font>
      <name val="Arial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D7377"/>
      </patternFill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1A7A4A"/>
      </patternFill>
    </fill>
    <fill>
      <patternFill patternType="solid">
        <fgColor rgb="002E86AB"/>
      </patternFill>
    </fill>
    <fill>
      <patternFill patternType="solid">
        <fgColor rgb="007B2D8B"/>
      </patternFill>
    </fill>
    <fill>
      <patternFill patternType="solid">
        <fgColor rgb="00C9A84C"/>
      </patternFill>
    </fill>
    <fill>
      <patternFill patternType="solid">
        <fgColor rgb="00FFF9E6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D7377"/>
      </left>
      <right style="thin">
        <color rgb="000D7377"/>
      </right>
      <top style="thin">
        <color rgb="000D7377"/>
      </top>
      <bottom style="thin">
        <color rgb="000D7377"/>
      </bottom>
    </border>
    <border>
      <left style="thin">
        <color rgb="00C9A84C"/>
      </left>
      <right style="thin">
        <color rgb="00C9A84C"/>
      </right>
      <top style="thin">
        <color rgb="00C9A84C"/>
      </top>
      <bottom style="thin">
        <color rgb="00C9A84C"/>
      </bottom>
    </border>
    <border>
      <bottom style="medium">
        <color rgb="00C9A84C"/>
      </bottom>
    </border>
    <border>
      <left style="medium">
        <color rgb="000D7377"/>
      </left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medium">
        <color rgb="00C9A84C"/>
      </left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164" fontId="9" fillId="5" borderId="2" applyAlignment="1" pivotButton="0" quotePrefix="0" xfId="0">
      <alignment horizontal="right" vertical="center"/>
    </xf>
    <xf numFmtId="0" fontId="8" fillId="4" borderId="2" applyAlignment="1" pivotButton="0" quotePrefix="0" xfId="0">
      <alignment horizontal="left" vertical="center"/>
    </xf>
    <xf numFmtId="164" fontId="9" fillId="4" borderId="2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/>
    </xf>
    <xf numFmtId="165" fontId="7" fillId="2" borderId="3" applyAlignment="1" pivotButton="0" quotePrefix="0" xfId="0">
      <alignment horizontal="right" vertical="center"/>
    </xf>
    <xf numFmtId="0" fontId="10" fillId="4" borderId="0" applyAlignment="1" pivotButton="0" quotePrefix="0" xfId="0">
      <alignment horizontal="left" vertical="center"/>
    </xf>
    <xf numFmtId="164" fontId="10" fillId="4" borderId="2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164" fontId="7" fillId="3" borderId="4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7" fillId="3" borderId="5" applyAlignment="1" pivotButton="0" quotePrefix="0" xfId="0">
      <alignment horizontal="left" vertical="center"/>
    </xf>
    <xf numFmtId="0" fontId="13" fillId="5" borderId="2" applyAlignment="1" pivotButton="0" quotePrefix="0" xfId="0">
      <alignment horizontal="left" vertical="center"/>
    </xf>
    <xf numFmtId="0" fontId="14" fillId="5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/>
    </xf>
    <xf numFmtId="0" fontId="13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left" vertical="center"/>
    </xf>
    <xf numFmtId="0" fontId="4" fillId="6" borderId="6" applyAlignment="1" pivotButton="0" quotePrefix="0" xfId="0">
      <alignment horizontal="left" vertical="top" wrapText="1"/>
    </xf>
    <xf numFmtId="0" fontId="15" fillId="2" borderId="0" applyAlignment="1" pivotButton="0" quotePrefix="0" xfId="0">
      <alignment horizontal="center" vertical="center"/>
    </xf>
    <xf numFmtId="0" fontId="3" fillId="2" borderId="7" applyAlignment="1" pivotButton="0" quotePrefix="0" xfId="0">
      <alignment horizontal="left" vertical="top" wrapText="1"/>
    </xf>
    <xf numFmtId="0" fontId="16" fillId="2" borderId="7" applyAlignment="1" pivotButton="0" quotePrefix="0" xfId="0">
      <alignment horizontal="left" vertical="top" wrapText="1"/>
    </xf>
    <xf numFmtId="0" fontId="3" fillId="3" borderId="7" applyAlignment="1" pivotButton="0" quotePrefix="0" xfId="0">
      <alignment horizontal="left" vertical="top" wrapText="1"/>
    </xf>
    <xf numFmtId="0" fontId="16" fillId="3" borderId="7" applyAlignment="1" pivotButton="0" quotePrefix="0" xfId="0">
      <alignment horizontal="left" vertical="top" wrapText="1"/>
    </xf>
    <xf numFmtId="0" fontId="3" fillId="7" borderId="7" applyAlignment="1" pivotButton="0" quotePrefix="0" xfId="0">
      <alignment horizontal="left" vertical="top" wrapText="1"/>
    </xf>
    <xf numFmtId="0" fontId="16" fillId="7" borderId="7" applyAlignment="1" pivotButton="0" quotePrefix="0" xfId="0">
      <alignment horizontal="left" vertical="top" wrapText="1"/>
    </xf>
    <xf numFmtId="0" fontId="3" fillId="8" borderId="7" applyAlignment="1" pivotButton="0" quotePrefix="0" xfId="0">
      <alignment horizontal="left" vertical="top" wrapText="1"/>
    </xf>
    <xf numFmtId="0" fontId="16" fillId="8" borderId="7" applyAlignment="1" pivotButton="0" quotePrefix="0" xfId="0">
      <alignment horizontal="left" vertical="top" wrapText="1"/>
    </xf>
    <xf numFmtId="0" fontId="3" fillId="9" borderId="7" applyAlignment="1" pivotButton="0" quotePrefix="0" xfId="0">
      <alignment horizontal="left" vertical="top" wrapText="1"/>
    </xf>
    <xf numFmtId="0" fontId="16" fillId="9" borderId="7" applyAlignment="1" pivotButton="0" quotePrefix="0" xfId="0">
      <alignment horizontal="left" vertical="top" wrapText="1"/>
    </xf>
    <xf numFmtId="0" fontId="3" fillId="10" borderId="7" applyAlignment="1" pivotButton="0" quotePrefix="0" xfId="0">
      <alignment horizontal="left" vertical="top" wrapText="1"/>
    </xf>
    <xf numFmtId="0" fontId="16" fillId="10" borderId="7" applyAlignment="1" pivotButton="0" quotePrefix="0" xfId="0">
      <alignment horizontal="left" vertical="top" wrapText="1"/>
    </xf>
    <xf numFmtId="0" fontId="6" fillId="11" borderId="8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Quantara Revenue by Stream (2026-2032)</a:t>
            </a:r>
          </a:p>
        </rich>
      </tx>
    </title>
    <plotArea>
      <barChart>
        <barDir val="col"/>
        <grouping val="stacked"/>
        <ser>
          <idx val="0"/>
          <order val="0"/>
          <tx>
            <v>DGK Certification Audits</v>
          </tx>
          <spPr>
            <a:solidFill xmlns:a="http://schemas.openxmlformats.org/drawingml/2006/main">
              <a:srgbClr val="0D7377"/>
            </a:solidFill>
            <a:ln xmlns:a="http://schemas.openxmlformats.org/drawingml/2006/main">
              <a:prstDash val="solid"/>
            </a:ln>
          </spPr>
          <cat>
            <numRef>
              <f>'Revenue Projections'!$B$4:$H$4</f>
            </numRef>
          </cat>
          <val>
            <numRef>
              <f>'Revenue Projections'!$B$5:$H$5</f>
            </numRef>
          </val>
        </ser>
        <ser>
          <idx val="1"/>
          <order val="1"/>
          <tx>
            <v>C-Score API Subscriptions</v>
          </tx>
          <spPr>
            <a:solidFill xmlns:a="http://schemas.openxmlformats.org/drawingml/2006/main">
              <a:srgbClr val="1A7A4A"/>
            </a:solidFill>
            <a:ln xmlns:a="http://schemas.openxmlformats.org/drawingml/2006/main">
              <a:prstDash val="solid"/>
            </a:ln>
          </spPr>
          <cat>
            <numRef>
              <f>'Revenue Projections'!$B$4:$H$4</f>
            </numRef>
          </cat>
          <val>
            <numRef>
              <f>'Revenue Projections'!$B$6:$H$6</f>
            </numRef>
          </val>
        </ser>
        <ser>
          <idx val="2"/>
          <order val="2"/>
          <tx>
            <v>TEB Structuring Fees</v>
          </tx>
          <spPr>
            <a:solidFill xmlns:a="http://schemas.openxmlformats.org/drawingml/2006/main">
              <a:srgbClr val="C9A84C"/>
            </a:solidFill>
            <a:ln xmlns:a="http://schemas.openxmlformats.org/drawingml/2006/main">
              <a:prstDash val="solid"/>
            </a:ln>
          </spPr>
          <cat>
            <numRef>
              <f>'Revenue Projections'!$B$4:$H$4</f>
            </numRef>
          </cat>
          <val>
            <numRef>
              <f>'Revenue Projections'!$B$7:$H$7</f>
            </numRef>
          </val>
        </ser>
        <ser>
          <idx val="3"/>
          <order val="3"/>
          <tx>
            <v>Energy Symbiosis Credits (ESC)</v>
          </tx>
          <spPr>
            <a:solidFill xmlns:a="http://schemas.openxmlformats.org/drawingml/2006/main">
              <a:srgbClr val="4A90D9"/>
            </a:solidFill>
            <a:ln xmlns:a="http://schemas.openxmlformats.org/drawingml/2006/main">
              <a:prstDash val="solid"/>
            </a:ln>
          </spPr>
          <cat>
            <numRef>
              <f>'Revenue Projections'!$B$4:$H$4</f>
            </numRef>
          </cat>
          <val>
            <numRef>
              <f>'Revenue Projections'!$B$8:$H$8</f>
            </numRef>
          </val>
        </ser>
        <ser>
          <idx val="4"/>
          <order val="4"/>
          <tx>
            <v>Enterprise License (DGK Suite)</v>
          </tx>
          <spPr>
            <a:solidFill xmlns:a="http://schemas.openxmlformats.org/drawingml/2006/main">
              <a:srgbClr val="9B59B6"/>
            </a:solidFill>
            <a:ln xmlns:a="http://schemas.openxmlformats.org/drawingml/2006/main">
              <a:prstDash val="solid"/>
            </a:ln>
          </spPr>
          <cat>
            <numRef>
              <f>'Revenue Projections'!$B$4:$H$4</f>
            </numRef>
          </cat>
          <val>
            <numRef>
              <f>'Revenue Projections'!$B$9:$H$9</f>
            </numRef>
          </val>
        </ser>
        <ser>
          <idx val="5"/>
          <order val="5"/>
          <tx>
            <v>Consulting &amp; Pilot Audits</v>
          </tx>
          <spPr>
            <a:solidFill xmlns:a="http://schemas.openxmlformats.org/drawingml/2006/main">
              <a:srgbClr val="E67E22"/>
            </a:solidFill>
            <a:ln xmlns:a="http://schemas.openxmlformats.org/drawingml/2006/main">
              <a:prstDash val="solid"/>
            </a:ln>
          </spPr>
          <cat>
            <numRef>
              <f>'Revenue Projections'!$B$4:$H$4</f>
            </numRef>
          </cat>
          <val>
            <numRef>
              <f>'Revenue Projections'!$B$10:$H$10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2" customWidth="1" min="3" max="3"/>
  </cols>
  <sheetData>
    <row r="1" ht="28" customHeight="1">
      <c r="A1" s="1" t="inlineStr">
        <is>
          <t>QUANTARA — DEFENSIBLE REVENUE MODEL</t>
        </is>
      </c>
    </row>
    <row r="2" ht="18" customHeight="1">
      <c r="A2" s="2" t="inlineStr">
        <is>
          <t>Key Assumptions &amp; Inputs  |  All blue cells are user-adjustable</t>
        </is>
      </c>
    </row>
    <row r="4" ht="20" customHeight="1">
      <c r="A4" s="3" t="inlineStr">
        <is>
          <t>Assumption</t>
        </is>
      </c>
      <c r="B4" s="3" t="inlineStr">
        <is>
          <t>Base Value</t>
        </is>
      </c>
      <c r="C4" s="3" t="inlineStr">
        <is>
          <t>Rationale / Source</t>
        </is>
      </c>
    </row>
    <row r="5" ht="18" customHeight="1">
      <c r="A5" s="4" t="inlineStr">
        <is>
          <t>── MARKET CONTEXT</t>
        </is>
      </c>
    </row>
    <row r="6" ht="16" customHeight="1">
      <c r="A6" s="5" t="inlineStr">
        <is>
          <t>Total EU CSRD-obligated companies (2025)</t>
        </is>
      </c>
      <c r="B6" s="6" t="n">
        <v>50000</v>
      </c>
      <c r="C6" s="7" t="inlineStr">
        <is>
          <t>EC impact assessment 2022</t>
        </is>
      </c>
    </row>
    <row r="7" ht="16" customHeight="1">
      <c r="A7" s="8" t="inlineStr">
        <is>
          <t>Total SEC climate-rule registrants (est.)</t>
        </is>
      </c>
      <c r="B7" s="9" t="n">
        <v>7000</v>
      </c>
      <c r="C7" s="10" t="inlineStr">
        <is>
          <t>SEC 2024 rule scope estimate</t>
        </is>
      </c>
    </row>
    <row r="8" ht="16" customHeight="1">
      <c r="A8" s="5" t="inlineStr">
        <is>
          <t>EU AI Act high-risk system deployments (est.)</t>
        </is>
      </c>
      <c r="B8" s="6" t="n">
        <v>85000</v>
      </c>
      <c r="C8" s="7" t="inlineStr">
        <is>
          <t>European Parliament research 2024</t>
        </is>
      </c>
    </row>
    <row r="9" ht="16" customHeight="1">
      <c r="A9" s="8" t="inlineStr">
        <is>
          <t>ESG analytics market size 2026 ($B)</t>
        </is>
      </c>
      <c r="B9" s="9" t="n">
        <v>8.5</v>
      </c>
      <c r="C9" s="10" t="inlineStr">
        <is>
          <t>Grand View Research 2024</t>
        </is>
      </c>
    </row>
    <row r="10" ht="16" customHeight="1">
      <c r="A10" s="5" t="inlineStr">
        <is>
          <t>ESG analytics CAGR 2026-2032</t>
        </is>
      </c>
      <c r="B10" s="6" t="inlineStr">
        <is>
          <t>22%</t>
        </is>
      </c>
      <c r="C10" s="7" t="inlineStr">
        <is>
          <t>Industry consensus estimate</t>
        </is>
      </c>
    </row>
    <row r="11" ht="18" customHeight="1">
      <c r="A11" s="4" t="inlineStr">
        <is>
          <t>── QUANTARA PRICING</t>
        </is>
      </c>
    </row>
    <row r="12" ht="16" customHeight="1">
      <c r="A12" s="5" t="inlineStr">
        <is>
          <t>DGK Certification: price per audit ($)</t>
        </is>
      </c>
      <c r="B12" s="6" t="n">
        <v>12000</v>
      </c>
      <c r="C12" s="7" t="inlineStr">
        <is>
          <t>Comparable: ISO 27001 cert ~$15K</t>
        </is>
      </c>
    </row>
    <row r="13" ht="16" customHeight="1">
      <c r="A13" s="8" t="inlineStr">
        <is>
          <t>C-Score API subscription: annual per entity ($)</t>
        </is>
      </c>
      <c r="B13" s="9" t="n">
        <v>4800</v>
      </c>
      <c r="C13" s="10" t="inlineStr">
        <is>
          <t>Comparable: Sustainalytics ~$5K/entity</t>
        </is>
      </c>
    </row>
    <row r="14" ht="16" customHeight="1">
      <c r="A14" s="5" t="inlineStr">
        <is>
          <t>TEB structuring fee (% of issuance)</t>
        </is>
      </c>
      <c r="B14" s="6" t="inlineStr">
        <is>
          <t>0.35%</t>
        </is>
      </c>
      <c r="C14" s="7" t="inlineStr">
        <is>
          <t>Comparable: green bond structuring 0.3-0.5%</t>
        </is>
      </c>
    </row>
    <row r="15" ht="16" customHeight="1">
      <c r="A15" s="8" t="inlineStr">
        <is>
          <t>ESC credit price ($/credit at market)</t>
        </is>
      </c>
      <c r="B15" s="9" t="n">
        <v>85</v>
      </c>
      <c r="C15" s="10" t="inlineStr">
        <is>
          <t>Comparable: EU ETS ~€70, premium for novelty</t>
        </is>
      </c>
    </row>
    <row r="16" ht="16" customHeight="1">
      <c r="A16" s="5" t="inlineStr">
        <is>
          <t>DGK enterprise license: annual ($)</t>
        </is>
      </c>
      <c r="B16" s="6" t="n">
        <v>95000</v>
      </c>
      <c r="C16" s="7" t="inlineStr">
        <is>
          <t>Comparable: enterprise compliance SW</t>
        </is>
      </c>
    </row>
    <row r="17" ht="18" customHeight="1">
      <c r="A17" s="4" t="inlineStr">
        <is>
          <t>── ADOPTION ASSUMPTIONS</t>
        </is>
      </c>
    </row>
    <row r="18" ht="16" customHeight="1">
      <c r="A18" s="5" t="inlineStr">
        <is>
          <t>Year 1 (2026): DGK certifications</t>
        </is>
      </c>
      <c r="B18" s="6" t="n">
        <v>8</v>
      </c>
      <c r="C18" s="7" t="inlineStr">
        <is>
          <t>Direct outreach + Aureon app launch</t>
        </is>
      </c>
    </row>
    <row r="19" ht="16" customHeight="1">
      <c r="A19" s="8" t="inlineStr">
        <is>
          <t>Year 2 (2027): DGK certifications</t>
        </is>
      </c>
      <c r="B19" s="9" t="n">
        <v>35</v>
      </c>
      <c r="C19" s="10" t="inlineStr">
        <is>
          <t>Referral + ESG consultant channel</t>
        </is>
      </c>
    </row>
    <row r="20" ht="16" customHeight="1">
      <c r="A20" s="5" t="inlineStr">
        <is>
          <t>Year 3 (2028): DGK certifications</t>
        </is>
      </c>
      <c r="B20" s="6" t="n">
        <v>120</v>
      </c>
      <c r="C20" s="7" t="inlineStr">
        <is>
          <t>Channel partner agreements</t>
        </is>
      </c>
    </row>
    <row r="21" ht="16" customHeight="1">
      <c r="A21" s="8" t="inlineStr">
        <is>
          <t>Year 4 (2029): DGK certifications</t>
        </is>
      </c>
      <c r="B21" s="9" t="n">
        <v>380</v>
      </c>
      <c r="C21" s="10" t="inlineStr">
        <is>
          <t>Regulatory mandate acceleration</t>
        </is>
      </c>
    </row>
    <row r="22" ht="16" customHeight="1">
      <c r="A22" s="5" t="inlineStr">
        <is>
          <t>Year 5 (2030): DGK certifications</t>
        </is>
      </c>
      <c r="B22" s="6" t="n">
        <v>950</v>
      </c>
      <c r="C22" s="7" t="inlineStr">
        <is>
          <t>CSRD enforcement peak demand</t>
        </is>
      </c>
    </row>
    <row r="23" ht="16" customHeight="1">
      <c r="A23" s="8" t="inlineStr">
        <is>
          <t>API subscribers (Year 1)</t>
        </is>
      </c>
      <c r="B23" s="9" t="n">
        <v>15</v>
      </c>
      <c r="C23" s="10" t="inlineStr">
        <is>
          <t>Pilot audit publication outreach</t>
        </is>
      </c>
    </row>
    <row r="24" ht="16" customHeight="1">
      <c r="A24" s="5" t="inlineStr">
        <is>
          <t>API subscriber growth rate YoY</t>
        </is>
      </c>
      <c r="B24" s="6" t="inlineStr">
        <is>
          <t>85%</t>
        </is>
      </c>
      <c r="C24" s="7" t="inlineStr">
        <is>
          <t>Conservative SaaS comp growth</t>
        </is>
      </c>
    </row>
    <row r="25" ht="16" customHeight="1">
      <c r="A25" s="8" t="inlineStr">
        <is>
          <t>TEB issuances (Year 3 first deal)</t>
        </is>
      </c>
      <c r="B25" s="9" t="n">
        <v>1</v>
      </c>
      <c r="C25" s="10" t="inlineStr">
        <is>
          <t>Requires 1 willing institutional partner</t>
        </is>
      </c>
    </row>
    <row r="26" ht="16" customHeight="1">
      <c r="A26" s="5" t="inlineStr">
        <is>
          <t>TEB avg deal size ($M)</t>
        </is>
      </c>
      <c r="B26" s="6" t="n">
        <v>50</v>
      </c>
      <c r="C26" s="7" t="inlineStr">
        <is>
          <t>Small-mid cap pilot size</t>
        </is>
      </c>
    </row>
    <row r="27" ht="16" customHeight="1">
      <c r="A27" s="8" t="inlineStr">
        <is>
          <t>TEB deal count growth YoY (from Y3)</t>
        </is>
      </c>
      <c r="B27" s="9" t="inlineStr">
        <is>
          <t>120%</t>
        </is>
      </c>
      <c r="C27" s="10" t="inlineStr">
        <is>
          <t>Green bond market precedent</t>
        </is>
      </c>
    </row>
    <row r="28" ht="18" customHeight="1">
      <c r="A28" s="4" t="inlineStr">
        <is>
          <t>── COST STRUCTURE</t>
        </is>
      </c>
    </row>
    <row r="29" ht="16" customHeight="1">
      <c r="A29" s="8" t="inlineStr">
        <is>
          <t>Year 1 operating cost ($)</t>
        </is>
      </c>
      <c r="B29" s="9" t="n">
        <v>0</v>
      </c>
      <c r="C29" s="10" t="inlineStr">
        <is>
          <t>Solo founder, no payroll, OSS infrastructure</t>
        </is>
      </c>
    </row>
    <row r="30" ht="16" customHeight="1">
      <c r="A30" s="5" t="inlineStr">
        <is>
          <t>Year 2 operating cost ($)</t>
        </is>
      </c>
      <c r="B30" s="6" t="n">
        <v>45000</v>
      </c>
      <c r="C30" s="7" t="inlineStr">
        <is>
          <t>First contractor + cloud infrastructure</t>
        </is>
      </c>
    </row>
    <row r="31" ht="16" customHeight="1">
      <c r="A31" s="8" t="inlineStr">
        <is>
          <t>Year 3 operating cost ($)</t>
        </is>
      </c>
      <c r="B31" s="9" t="n">
        <v>185000</v>
      </c>
      <c r="C31" s="10" t="inlineStr">
        <is>
          <t>2 PT engineers + compliance legal</t>
        </is>
      </c>
    </row>
    <row r="32" ht="16" customHeight="1">
      <c r="A32" s="5" t="inlineStr">
        <is>
          <t>Year 4 operating cost ($)</t>
        </is>
      </c>
      <c r="B32" s="6" t="n">
        <v>520000</v>
      </c>
      <c r="C32" s="7" t="inlineStr">
        <is>
          <t>5-person team + sales ops</t>
        </is>
      </c>
    </row>
    <row r="33" ht="16" customHeight="1">
      <c r="A33" s="8" t="inlineStr">
        <is>
          <t>Year 5 operating cost ($)</t>
        </is>
      </c>
      <c r="B33" s="9" t="n">
        <v>1100000</v>
      </c>
      <c r="C33" s="10" t="inlineStr">
        <is>
          <t>10-person team + channel mgmt</t>
        </is>
      </c>
    </row>
  </sheetData>
  <mergeCells count="6">
    <mergeCell ref="A28:C28"/>
    <mergeCell ref="A11:C11"/>
    <mergeCell ref="A1:C1"/>
    <mergeCell ref="A5:C5"/>
    <mergeCell ref="A17:C17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QUANTARA — REVENUE PROJECTIONS 2026–2035</t>
        </is>
      </c>
    </row>
    <row r="2" ht="18" customHeight="1">
      <c r="A2" s="2" t="inlineStr">
        <is>
          <t>Bottom-up build from unit economics  |  Conservative scenario  |  All figures USD</t>
        </is>
      </c>
    </row>
    <row r="4" ht="22" customHeight="1">
      <c r="A4" s="11" t="inlineStr">
        <is>
          <t>Revenue Stream</t>
        </is>
      </c>
      <c r="B4" s="11" t="inlineStr">
        <is>
          <t>2026</t>
        </is>
      </c>
      <c r="C4" s="11" t="inlineStr">
        <is>
          <t>2027</t>
        </is>
      </c>
      <c r="D4" s="11" t="inlineStr">
        <is>
          <t>2028</t>
        </is>
      </c>
      <c r="E4" s="11" t="inlineStr">
        <is>
          <t>2029</t>
        </is>
      </c>
      <c r="F4" s="11" t="inlineStr">
        <is>
          <t>2030</t>
        </is>
      </c>
      <c r="G4" s="11" t="inlineStr">
        <is>
          <t>2031</t>
        </is>
      </c>
      <c r="H4" s="11" t="inlineStr">
        <is>
          <t>2032</t>
        </is>
      </c>
    </row>
    <row r="5" ht="16" customHeight="1">
      <c r="A5" s="12" t="inlineStr">
        <is>
          <t>DGK Certification Audits</t>
        </is>
      </c>
      <c r="B5" s="13" t="n">
        <v>96000</v>
      </c>
      <c r="C5" s="13" t="n">
        <v>420000</v>
      </c>
      <c r="D5" s="13" t="n">
        <v>1440000</v>
      </c>
      <c r="E5" s="13" t="n">
        <v>4560000</v>
      </c>
      <c r="F5" s="13" t="n">
        <v>11400000</v>
      </c>
      <c r="G5" s="13" t="n">
        <v>25200000</v>
      </c>
      <c r="H5" s="13" t="n">
        <v>50400000</v>
      </c>
    </row>
    <row r="6" ht="16" customHeight="1">
      <c r="A6" s="14" t="inlineStr">
        <is>
          <t>C-Score API Subscriptions</t>
        </is>
      </c>
      <c r="B6" s="15" t="n">
        <v>72000</v>
      </c>
      <c r="C6" s="15" t="n">
        <v>134400</v>
      </c>
      <c r="D6" s="15" t="n">
        <v>249600</v>
      </c>
      <c r="E6" s="15" t="n">
        <v>460800</v>
      </c>
      <c r="F6" s="15" t="n">
        <v>854400</v>
      </c>
      <c r="G6" s="15" t="n">
        <v>1579200</v>
      </c>
      <c r="H6" s="15" t="n">
        <v>2923200</v>
      </c>
    </row>
    <row r="7" ht="16" customHeight="1">
      <c r="A7" s="12" t="inlineStr">
        <is>
          <t>TEB Structuring Fees</t>
        </is>
      </c>
      <c r="B7" s="13" t="n"/>
      <c r="C7" s="13" t="n"/>
      <c r="D7" s="13" t="n">
        <v>175000</v>
      </c>
      <c r="E7" s="13" t="n">
        <v>525000</v>
      </c>
      <c r="F7" s="13" t="n">
        <v>1225000</v>
      </c>
      <c r="G7" s="13" t="n">
        <v>3150000</v>
      </c>
      <c r="H7" s="13" t="n">
        <v>7350000</v>
      </c>
    </row>
    <row r="8" ht="16" customHeight="1">
      <c r="A8" s="14" t="inlineStr">
        <is>
          <t>Energy Symbiosis Credits (ESC)</t>
        </is>
      </c>
      <c r="B8" s="15" t="n"/>
      <c r="C8" s="15" t="n"/>
      <c r="D8" s="15" t="n">
        <v>42500</v>
      </c>
      <c r="E8" s="15" t="n">
        <v>187000</v>
      </c>
      <c r="F8" s="15" t="n">
        <v>722500</v>
      </c>
      <c r="G8" s="15" t="n">
        <v>2380000</v>
      </c>
      <c r="H8" s="15" t="n">
        <v>8075000</v>
      </c>
    </row>
    <row r="9" ht="16" customHeight="1">
      <c r="A9" s="12" t="inlineStr">
        <is>
          <t>Enterprise License (DGK Suite)</t>
        </is>
      </c>
      <c r="B9" s="13" t="n"/>
      <c r="C9" s="13" t="n">
        <v>95000</v>
      </c>
      <c r="D9" s="13" t="n">
        <v>285000</v>
      </c>
      <c r="E9" s="13" t="n">
        <v>760000</v>
      </c>
      <c r="F9" s="13" t="n">
        <v>1900000</v>
      </c>
      <c r="G9" s="13" t="n">
        <v>4275000</v>
      </c>
      <c r="H9" s="13" t="n">
        <v>9025000</v>
      </c>
    </row>
    <row r="10" ht="16" customHeight="1">
      <c r="A10" s="14" t="inlineStr">
        <is>
          <t>Consulting &amp; Pilot Audits</t>
        </is>
      </c>
      <c r="B10" s="15" t="n">
        <v>24000</v>
      </c>
      <c r="C10" s="15" t="n">
        <v>85000</v>
      </c>
      <c r="D10" s="15" t="n">
        <v>240000</v>
      </c>
      <c r="E10" s="15" t="n">
        <v>680000</v>
      </c>
      <c r="F10" s="15" t="n">
        <v>1650000</v>
      </c>
      <c r="G10" s="15" t="n">
        <v>3800000</v>
      </c>
      <c r="H10" s="15" t="n">
        <v>8200000</v>
      </c>
    </row>
    <row r="11" ht="22" customHeight="1">
      <c r="A11" s="16" t="inlineStr">
        <is>
          <t>TOTAL REVENUE</t>
        </is>
      </c>
      <c r="B11" s="17" t="n">
        <v>192000</v>
      </c>
      <c r="C11" s="17" t="n">
        <v>734400</v>
      </c>
      <c r="D11" s="17" t="n">
        <v>2432100</v>
      </c>
      <c r="E11" s="17" t="n">
        <v>7172800</v>
      </c>
      <c r="F11" s="17" t="n">
        <v>17751900</v>
      </c>
      <c r="G11" s="17" t="n">
        <v>40384200</v>
      </c>
      <c r="H11" s="17" t="n">
        <v>85973200</v>
      </c>
    </row>
    <row r="13" ht="16" customHeight="1">
      <c r="A13" s="18" t="inlineStr">
        <is>
          <t>Operating Costs</t>
        </is>
      </c>
      <c r="B13" s="19" t="n"/>
      <c r="C13" s="19" t="n">
        <v>-45000</v>
      </c>
      <c r="D13" s="19" t="n">
        <v>-185000</v>
      </c>
      <c r="E13" s="19" t="n">
        <v>-520000</v>
      </c>
      <c r="F13" s="19" t="n">
        <v>-1100000</v>
      </c>
      <c r="G13" s="19" t="n">
        <v>-2200000</v>
      </c>
      <c r="H13" s="19" t="n">
        <v>-4500000</v>
      </c>
    </row>
    <row r="14" ht="22" customHeight="1">
      <c r="A14" s="20" t="inlineStr">
        <is>
          <t>EBITDA</t>
        </is>
      </c>
      <c r="B14" s="21" t="n">
        <v>192000</v>
      </c>
      <c r="C14" s="21" t="n">
        <v>689400</v>
      </c>
      <c r="D14" s="21" t="n">
        <v>2247100</v>
      </c>
      <c r="E14" s="21" t="n">
        <v>6652800</v>
      </c>
      <c r="F14" s="21" t="n">
        <v>16651900</v>
      </c>
      <c r="G14" s="21" t="n">
        <v>38184200</v>
      </c>
      <c r="H14" s="21" t="n">
        <v>81473200</v>
      </c>
    </row>
    <row r="16" ht="18" customHeight="1">
      <c r="A16" s="22" t="inlineStr">
        <is>
          <t>Revenue CAGR (2026-2032)</t>
        </is>
      </c>
      <c r="B16" s="23" t="inlineStr">
        <is>
          <t>176.6%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36" customWidth="1" min="4" max="4"/>
  </cols>
  <sheetData>
    <row r="1" ht="28" customHeight="1">
      <c r="A1" s="1" t="inlineStr">
        <is>
          <t>QUANTARA — UNIT ECONOMICS</t>
        </is>
      </c>
    </row>
    <row r="3">
      <c r="A3" s="24" t="inlineStr">
        <is>
          <t>Product 1: DGK Admissibility Certification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Year 1 Impact</t>
        </is>
      </c>
      <c r="D4" s="3" t="inlineStr">
        <is>
          <t>Notes</t>
        </is>
      </c>
    </row>
    <row r="5" ht="16" customHeight="1">
      <c r="A5" s="25" t="inlineStr">
        <is>
          <t>Price per audit</t>
        </is>
      </c>
      <c r="B5" s="26" t="inlineStr">
        <is>
          <t>$12,000</t>
        </is>
      </c>
      <c r="C5" s="27" t="inlineStr">
        <is>
          <t>$96,000</t>
        </is>
      </c>
      <c r="D5" s="28" t="inlineStr">
        <is>
          <t>8 audits Year 1; comparable to ISO 27001 cert</t>
        </is>
      </c>
    </row>
    <row r="6" ht="16" customHeight="1">
      <c r="A6" s="29" t="inlineStr">
        <is>
          <t>Delivery time (days)</t>
        </is>
      </c>
      <c r="B6" s="30" t="inlineStr">
        <is>
          <t>14 days</t>
        </is>
      </c>
      <c r="C6" s="31" t="inlineStr">
        <is>
          <t>—</t>
        </is>
      </c>
      <c r="D6" s="32" t="inlineStr">
        <is>
          <t>2-person team; DGK certifier automates 60%</t>
        </is>
      </c>
    </row>
    <row r="7" ht="16" customHeight="1">
      <c r="A7" s="25" t="inlineStr">
        <is>
          <t>Gross margin</t>
        </is>
      </c>
      <c r="B7" s="26" t="inlineStr">
        <is>
          <t>85%</t>
        </is>
      </c>
      <c r="C7" s="27" t="inlineStr">
        <is>
          <t>$81,600</t>
        </is>
      </c>
      <c r="D7" s="28" t="inlineStr">
        <is>
          <t>Minimal COGS; software-delivered verification</t>
        </is>
      </c>
    </row>
    <row r="8" ht="16" customHeight="1">
      <c r="A8" s="29" t="inlineStr">
        <is>
          <t>Customer LTV (3-yr)</t>
        </is>
      </c>
      <c r="B8" s="30" t="inlineStr">
        <is>
          <t>$36,000</t>
        </is>
      </c>
      <c r="C8" s="31" t="inlineStr">
        <is>
          <t>—</t>
        </is>
      </c>
      <c r="D8" s="32" t="inlineStr">
        <is>
          <t>Annual recertification at 75% retention</t>
        </is>
      </c>
    </row>
    <row r="9" ht="16" customHeight="1">
      <c r="A9" s="25" t="inlineStr">
        <is>
          <t>CAC (direct outreach)</t>
        </is>
      </c>
      <c r="B9" s="26" t="inlineStr">
        <is>
          <t>$800</t>
        </is>
      </c>
      <c r="C9" s="27" t="inlineStr">
        <is>
          <t>—</t>
        </is>
      </c>
      <c r="D9" s="28" t="inlineStr">
        <is>
          <t>Email + conference attendance; no paid ads</t>
        </is>
      </c>
    </row>
    <row r="10" ht="16" customHeight="1">
      <c r="A10" s="29" t="inlineStr">
        <is>
          <t>LTV/CAC ratio</t>
        </is>
      </c>
      <c r="B10" s="30" t="inlineStr">
        <is>
          <t>45x</t>
        </is>
      </c>
      <c r="C10" s="31" t="inlineStr">
        <is>
          <t>—</t>
        </is>
      </c>
      <c r="D10" s="32" t="inlineStr">
        <is>
          <t>Exceptional; SaaS benchmark is 3x minimum</t>
        </is>
      </c>
    </row>
    <row r="11" ht="16" customHeight="1">
      <c r="A11" s="25" t="inlineStr">
        <is>
          <t>CSRD mandate market</t>
        </is>
      </c>
      <c r="B11" s="26" t="inlineStr">
        <is>
          <t>50,000 co's</t>
        </is>
      </c>
      <c r="C11" s="27" t="inlineStr">
        <is>
          <t>—</t>
        </is>
      </c>
      <c r="D11" s="28" t="inlineStr">
        <is>
          <t>Quantara addresses all three EU reporting pillars</t>
        </is>
      </c>
    </row>
    <row r="13">
      <c r="A13" s="24" t="inlineStr">
        <is>
          <t>Product 2: C-Score API Subscription</t>
        </is>
      </c>
    </row>
    <row r="14">
      <c r="A14" s="3" t="inlineStr">
        <is>
          <t>Metric</t>
        </is>
      </c>
      <c r="B14" s="3" t="inlineStr">
        <is>
          <t>Value</t>
        </is>
      </c>
      <c r="C14" s="3" t="inlineStr">
        <is>
          <t>Year 1 Impact</t>
        </is>
      </c>
      <c r="D14" s="3" t="inlineStr">
        <is>
          <t>Notes</t>
        </is>
      </c>
    </row>
    <row r="15" ht="16" customHeight="1">
      <c r="A15" s="25" t="inlineStr">
        <is>
          <t>Annual subscription price</t>
        </is>
      </c>
      <c r="B15" s="26" t="inlineStr">
        <is>
          <t>$4,800</t>
        </is>
      </c>
      <c r="C15" s="27" t="inlineStr">
        <is>
          <t>$72,000</t>
        </is>
      </c>
      <c r="D15" s="28" t="inlineStr">
        <is>
          <t>15 subscribers Year 1; $400/month/entity</t>
        </is>
      </c>
    </row>
    <row r="16" ht="16" customHeight="1">
      <c r="A16" s="29" t="inlineStr">
        <is>
          <t>Gross margin</t>
        </is>
      </c>
      <c r="B16" s="30" t="inlineStr">
        <is>
          <t>92%</t>
        </is>
      </c>
      <c r="C16" s="31" t="inlineStr">
        <is>
          <t>$66,240</t>
        </is>
      </c>
      <c r="D16" s="32" t="inlineStr">
        <is>
          <t>Pure software delivery; near-zero COGS</t>
        </is>
      </c>
    </row>
    <row r="17" ht="16" customHeight="1">
      <c r="A17" s="25" t="inlineStr">
        <is>
          <t>Monthly churn (target)</t>
        </is>
      </c>
      <c r="B17" s="26" t="inlineStr">
        <is>
          <t>1.5%</t>
        </is>
      </c>
      <c r="C17" s="27" t="inlineStr">
        <is>
          <t>—</t>
        </is>
      </c>
      <c r="D17" s="28" t="inlineStr">
        <is>
          <t>B2B SaaS benchmark; annual contracts reduce churn</t>
        </is>
      </c>
    </row>
    <row r="18" ht="16" customHeight="1">
      <c r="A18" s="29" t="inlineStr">
        <is>
          <t>Avg entities per subscriber</t>
        </is>
      </c>
      <c r="B18" s="30" t="inlineStr">
        <is>
          <t>8</t>
        </is>
      </c>
      <c r="C18" s="31" t="inlineStr">
        <is>
          <t>—</t>
        </is>
      </c>
      <c r="D18" s="32" t="inlineStr">
        <is>
          <t>ESG analysts score multiple entities per license</t>
        </is>
      </c>
    </row>
    <row r="19" ht="16" customHeight="1">
      <c r="A19" s="25" t="inlineStr">
        <is>
          <t>Effective per-entity price</t>
        </is>
      </c>
      <c r="B19" s="26" t="inlineStr">
        <is>
          <t>$600/yr</t>
        </is>
      </c>
      <c r="C19" s="27" t="inlineStr">
        <is>
          <t>—</t>
        </is>
      </c>
      <c r="D19" s="28" t="inlineStr">
        <is>
          <t>Below Sustainalytics ($5K+); strong price position</t>
        </is>
      </c>
    </row>
    <row r="20" ht="16" customHeight="1">
      <c r="A20" s="29" t="inlineStr">
        <is>
          <t>Expansion revenue (upsell)</t>
        </is>
      </c>
      <c r="B20" s="30" t="inlineStr">
        <is>
          <t>30% YoY</t>
        </is>
      </c>
      <c r="C20" s="31" t="inlineStr">
        <is>
          <t>—</t>
        </is>
      </c>
      <c r="D20" s="32" t="inlineStr">
        <is>
          <t>Subscribers add entities as comfort grows</t>
        </is>
      </c>
    </row>
    <row r="22">
      <c r="A22" s="24" t="inlineStr">
        <is>
          <t>The Wedge Strategy: Why DGK Certification First</t>
        </is>
      </c>
    </row>
    <row r="23" ht="72" customHeight="1">
      <c r="A23" s="33" t="inlineStr">
        <is>
          <t>The DGK Admissibility Certifier is the highest-margin, fastest-to-revenue product in the stack. It requires no partners, no regulatory approval, and no network effects to generate revenue — a single CSRD-obligated company needs exactly this service right now. The $12K price point is below incumbent alternatives, the 85% gross margin funds all other development, and each certification creates a case study and a reference customer. DGK certification is the wedge; the API subscription is the retention mechanism; TEB structuring is the scale play.</t>
        </is>
      </c>
    </row>
  </sheetData>
  <mergeCells count="5">
    <mergeCell ref="A1:D1"/>
    <mergeCell ref="A23:D23"/>
    <mergeCell ref="A22:D22"/>
    <mergeCell ref="A3:D3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34" t="inlineStr">
        <is>
          <t>QUANTARA — LONG-RANGE PATHWAY TO PLANETARY SCALE</t>
        </is>
      </c>
    </row>
    <row r="2" ht="18" customHeight="1">
      <c r="A2" s="2" t="inlineStr">
        <is>
          <t>Phase-gated milestones with revenue triggers  |  Each phase funds the next</t>
        </is>
      </c>
    </row>
    <row r="4" ht="22" customHeight="1">
      <c r="A4" s="3" t="inlineStr">
        <is>
          <t>Phase / Year</t>
        </is>
      </c>
      <c r="B4" s="3" t="inlineStr">
        <is>
          <t>Revenue Range (USD)</t>
        </is>
      </c>
      <c r="C4" s="3" t="inlineStr">
        <is>
          <t>Primary Drivers</t>
        </is>
      </c>
      <c r="D4" s="3" t="inlineStr">
        <is>
          <t>Key Milestone</t>
        </is>
      </c>
      <c r="E4" s="3" t="inlineStr">
        <is>
          <t>Funds Next Phase</t>
        </is>
      </c>
    </row>
    <row r="5" ht="55" customHeight="1">
      <c r="A5" s="35" t="inlineStr">
        <is>
          <t>Phase 1
2026–2027</t>
        </is>
      </c>
      <c r="B5" s="36" t="inlineStr">
        <is>
          <t>$96K – $550K</t>
        </is>
      </c>
      <c r="C5" s="36" t="inlineStr">
        <is>
          <t>DGK certs
API subs
Consulting</t>
        </is>
      </c>
      <c r="D5" s="36" t="inlineStr">
        <is>
          <t>8 paying clients
arXiv publication
Aureon app live</t>
        </is>
      </c>
      <c r="E5" s="36" t="inlineStr">
        <is>
          <t>Hire first engineer
Channel development</t>
        </is>
      </c>
    </row>
    <row r="6" ht="55" customHeight="1">
      <c r="A6" s="37" t="inlineStr">
        <is>
          <t>Phase 2
2028–2029</t>
        </is>
      </c>
      <c r="B6" s="38" t="inlineStr">
        <is>
          <t>$1.2M – $4.8M</t>
        </is>
      </c>
      <c r="C6" s="38" t="inlineStr">
        <is>
          <t>DGK scale
First TEB deal
ESC market launch</t>
        </is>
      </c>
      <c r="D6" s="38" t="inlineStr">
        <is>
          <t>CSRD pilot partner
First institutional TEB
DGK enterprise license</t>
        </is>
      </c>
      <c r="E6" s="38" t="inlineStr">
        <is>
          <t>Series A raise
5-person team
Regulatory engagement</t>
        </is>
      </c>
    </row>
    <row r="7" ht="55" customHeight="1">
      <c r="A7" s="39" t="inlineStr">
        <is>
          <t>Phase 3
2030–2031</t>
        </is>
      </c>
      <c r="B7" s="40" t="inlineStr">
        <is>
          <t>$12M – $35M</t>
        </is>
      </c>
      <c r="C7" s="40" t="inlineStr">
        <is>
          <t>TEB market growth
API enterprise
Governance standards</t>
        </is>
      </c>
      <c r="D7" s="40" t="inlineStr">
        <is>
          <t>EU regulatory recognition
First sovereign TEB
Automated UIOS scoring</t>
        </is>
      </c>
      <c r="E7" s="40" t="inlineStr">
        <is>
          <t>International expansion
Partner ecosystem
IPO preparation</t>
        </is>
      </c>
    </row>
    <row r="8" ht="55" customHeight="1">
      <c r="A8" s="41" t="inlineStr">
        <is>
          <t>Phase 4
2032–2035</t>
        </is>
      </c>
      <c r="B8" s="42" t="inlineStr">
        <is>
          <t>$80M – $200M</t>
        </is>
      </c>
      <c r="C8" s="42" t="inlineStr">
        <is>
          <t>Platform dominance
Network effects
Market infrastructure</t>
        </is>
      </c>
      <c r="D8" s="42" t="inlineStr">
        <is>
          <t>100+ enterprise clients
ESC market liquidity
DGK as ISO equivalent</t>
        </is>
      </c>
      <c r="E8" s="42" t="inlineStr">
        <is>
          <t>M&amp;A opportunities
Global governance body
Quantara as standard</t>
        </is>
      </c>
    </row>
    <row r="9" ht="55" customHeight="1">
      <c r="A9" s="43" t="inlineStr">
        <is>
          <t>Phase 5
2036–2045</t>
        </is>
      </c>
      <c r="B9" s="44" t="inlineStr">
        <is>
          <t>$500M – $5B+</t>
        </is>
      </c>
      <c r="C9" s="44" t="inlineStr">
        <is>
          <t>Planetary infrastructure
AI governance layer
Coherence economy</t>
        </is>
      </c>
      <c r="D9" s="44" t="inlineStr">
        <is>
          <t>UIOS global deployment
Central bank recognition
Post-scarcity capital model</t>
        </is>
      </c>
      <c r="E9" s="44" t="inlineStr">
        <is>
          <t>Self-sustaining ecosystem
Trillion-dollar coherence
economy infrastructure</t>
        </is>
      </c>
    </row>
    <row r="10" ht="55" customHeight="1">
      <c r="A10" s="45" t="inlineStr">
        <is>
          <t>Phase 6
2046–2050</t>
        </is>
      </c>
      <c r="B10" s="46" t="inlineStr">
        <is>
          <t>$5B – $50B+</t>
        </is>
      </c>
      <c r="C10" s="46" t="inlineStr">
        <is>
          <t>Coherence as global
standard infrastructure</t>
        </is>
      </c>
      <c r="D10" s="46" t="inlineStr">
        <is>
          <t>Quantara as planetary OS
for economic coherence
Post-ESG world</t>
        </is>
      </c>
      <c r="E10" s="46" t="inlineStr">
        <is>
          <t>Dominant position in
global financial and
governance infrastructure</t>
        </is>
      </c>
    </row>
    <row r="12" ht="60" customHeight="1">
      <c r="A12" s="47" t="inlineStr">
        <is>
          <t>NOTE: Phase 5-6 projections are not financial forecasts — they represent the structural outcome if Quantara achieves adoption as core compliance infrastructure for AI governance and sustainable finance globally. These figures are scenario-dependent on regulatory alignment, technological execution, and network effect timing. Investor materials use Phase 1-3 numbers only.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2026-02-22T23:15:26Z</dcterms:created>
  <dcterms:modified xmlns:dcterms="http://purl.org/dc/terms/" xmlns:xsi="http://www.w3.org/2001/XMLSchema-instance" xsi:type="dcterms:W3CDTF">2026-02-22T23:15:26Z</dcterms:modified>
</cp:coreProperties>
</file>